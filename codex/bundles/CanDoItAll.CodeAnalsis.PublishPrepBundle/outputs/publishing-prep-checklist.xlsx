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Subbundle Plan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Hotspots" sheetId="4" state="visible" r:id="rId4"/>
    <sheet xmlns:r="http://schemas.openxmlformats.org/officeDocument/2006/relationships" name="Extraction Candidates" sheetId="5" state="visible" r:id="rId5"/>
    <sheet xmlns:r="http://schemas.openxmlformats.org/officeDocument/2006/relationships" name="Performance EF Scan" sheetId="6" state="visible" r:id="rId6"/>
    <sheet xmlns:r="http://schemas.openxmlformats.org/officeDocument/2006/relationships" name="Documentation Plan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DDEBFF"/>
      <sz val="10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2FF"/>
      </patternFill>
    </fill>
    <fill>
      <patternFill patternType="solid">
        <fgColor rgb="FF0F766E"/>
      </patternFill>
    </fill>
  </fills>
  <borders count="9">
    <border/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0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164" fontId="0" fillId="0" borderId="0" pivotButton="0" quotePrefix="0" xfId="0"/>
    <xf numFmtId="0" fontId="1" fillId="4" borderId="0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1" fillId="4" borderId="2" applyAlignment="1" pivotButton="0" quotePrefix="0" xfId="0">
      <alignment wrapText="1"/>
    </xf>
    <xf numFmtId="0" fontId="1" fillId="4" borderId="3" applyAlignment="1" pivotButton="0" quotePrefix="0" xfId="0">
      <alignment wrapText="1"/>
    </xf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3" fontId="0" fillId="0" borderId="4" applyAlignment="1" pivotButton="0" quotePrefix="0" xfId="0">
      <alignment wrapText="1"/>
    </xf>
    <xf numFmtId="3" fontId="0" fillId="0" borderId="6" applyAlignment="1" pivotButton="0" quotePrefix="0" xfId="0">
      <alignment wrapText="1"/>
    </xf>
    <xf numFmtId="3" fontId="0" fillId="0" borderId="0" pivotButton="0" quotePrefix="0" xfId="0"/>
    <xf numFmtId="3" fontId="0" fillId="0" borderId="0" applyAlignment="1" pivotButton="0" quotePrefix="0" xfId="0">
      <alignment wrapText="1"/>
    </xf>
    <xf numFmtId="3" fontId="0" fillId="0" borderId="7" applyAlignment="1" pivotButton="0" quotePrefix="0" xfId="0">
      <alignment wrapText="1"/>
    </xf>
    <xf numFmtId="164" fontId="0" fillId="0" borderId="0" pivotButton="0" quotePrefix="0" xfId="0"/>
    <xf numFmtId="3" fontId="0" fillId="0" borderId="4" applyAlignment="1" pivotButton="0" quotePrefix="0" xfId="0">
      <alignment wrapText="1"/>
    </xf>
    <xf numFmtId="3" fontId="0" fillId="0" borderId="6" applyAlignment="1" pivotButton="0" quotePrefix="0" xfId="0">
      <alignment wrapText="1"/>
    </xf>
    <xf numFmtId="3" fontId="0" fillId="0" borderId="0" pivotButton="0" quotePrefix="0" xfId="0"/>
    <xf numFmtId="3" fontId="0" fillId="0" borderId="0" applyAlignment="1" pivotButton="0" quotePrefix="0" xfId="0">
      <alignment wrapText="1"/>
    </xf>
    <xf numFmtId="3" fontId="0" fillId="0" borderId="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ubbundlePlan" displayName="SubbundlePlan" ref="A4:G12" headerRowCount="1">
  <autoFilter ref="A4:G12"/>
  <tableColumns count="7">
    <tableColumn id="1" name="ID"/>
    <tableColumn id="2" name="Name"/>
    <tableColumn id="3" name="Validation Depth"/>
    <tableColumn id="4" name="Prerequisites"/>
    <tableColumn id="5" name="Primary Deliverable"/>
    <tableColumn id="6" name="Status"/>
    <tableColumn id="7" name="Risk"/>
  </tableColumns>
  <tableStyleInfo name="TableStyleMedium2" showRowStripes="1"/>
</table>
</file>

<file path=xl/tables/table2.xml><?xml version="1.0" encoding="utf-8"?>
<table xmlns="http://schemas.openxmlformats.org/spreadsheetml/2006/main" id="2" name="DetailedChecklist" displayName="DetailedChecklist" ref="A4:G27" headerRowCount="1">
  <autoFilter ref="A4:G27"/>
  <tableColumns count="7">
    <tableColumn id="1" name="ID"/>
    <tableColumn id="2" name="Subbundle"/>
    <tableColumn id="3" name="Task"/>
    <tableColumn id="4" name="Priority"/>
    <tableColumn id="5" name="Status"/>
    <tableColumn id="6" name="Acceptance Signal"/>
    <tableColumn id="7" name="Owner"/>
  </tableColumns>
  <tableStyleInfo name="TableStyleMedium2" showRowStripes="1"/>
</table>
</file>

<file path=xl/tables/table3.xml><?xml version="1.0" encoding="utf-8"?>
<table xmlns="http://schemas.openxmlformats.org/spreadsheetml/2006/main" id="3" name="HotspotInventory" displayName="HotspotInventory" ref="A4:E13" headerRowCount="1">
  <autoFilter ref="A4:E13"/>
  <tableColumns count="5">
    <tableColumn id="1" name="Lines"/>
    <tableColumn id="2" name="Path"/>
    <tableColumn id="3" name="Finding"/>
    <tableColumn id="4" name="Owner"/>
    <tableColumn id="5" name="Planned Handling"/>
  </tableColumns>
  <tableStyleInfo name="TableStyleMedium2" showRowStripes="1"/>
</table>
</file>

<file path=xl/tables/table4.xml><?xml version="1.0" encoding="utf-8"?>
<table xmlns="http://schemas.openxmlformats.org/spreadsheetml/2006/main" id="4" name="ExtractionCandidates" displayName="ExtractionCandidates" ref="A4:E12" headerRowCount="1">
  <autoFilter ref="A4:E12"/>
  <tableColumns count="5">
    <tableColumn id="1" name="Candidate"/>
    <tableColumn id="2" name="Current Source"/>
    <tableColumn id="3" name="Strength"/>
    <tableColumn id="4" name="Purpose"/>
    <tableColumn id="5" name="Decision Phase"/>
  </tableColumns>
  <tableStyleInfo name="TableStyleMedium2" showRowStripes="1"/>
</table>
</file>

<file path=xl/tables/table5.xml><?xml version="1.0" encoding="utf-8"?>
<table xmlns="http://schemas.openxmlformats.org/spreadsheetml/2006/main" id="5" name="PerformanceEfScan" displayName="PerformanceEfScan" ref="A4:D17" headerRowCount="1">
  <autoFilter ref="A4:D17"/>
  <tableColumns count="4">
    <tableColumn id="1" name="Recipe or Finding"/>
    <tableColumn id="2" name="Hit Lines"/>
    <tableColumn id="3" name="Triage"/>
    <tableColumn id="4" name="Owner"/>
  </tableColumns>
  <tableStyleInfo name="TableStyleMedium2" showRowStripes="1"/>
</table>
</file>

<file path=xl/tables/table6.xml><?xml version="1.0" encoding="utf-8"?>
<table xmlns="http://schemas.openxmlformats.org/spreadsheetml/2006/main" id="6" name="DocumentationPlan" displayName="DocumentationPlan" ref="A4:E11" headerRowCount="1">
  <autoFilter ref="A4:E11"/>
  <tableColumns count="5">
    <tableColumn id="1" name="Artifact"/>
    <tableColumn id="2" name="Current State"/>
    <tableColumn id="3" name="Needed Improvement"/>
    <tableColumn id="4" name="Dependency"/>
    <tableColumn id="5" name="Owner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6" customWidth="1" style="16" min="1" max="1"/>
    <col width="80" customWidth="1" style="16" min="2" max="2"/>
    <col width="18" customWidth="1" style="16" min="4" max="4"/>
    <col width="12" customWidth="1" style="16" min="5" max="5"/>
    <col width="18" customWidth="1" style="16" min="6" max="6"/>
    <col width="42" customWidth="1" style="16" min="7" max="7"/>
    <col width="16" customWidth="1" style="16" min="8" max="8"/>
  </cols>
  <sheetData>
    <row r="1" ht="19.20000076293945" customHeight="1" s="16">
      <c r="A1" s="4" t="inlineStr">
        <is>
          <t>Open-source publishing preparation</t>
        </is>
      </c>
    </row>
    <row r="2" ht="15" customHeight="1" s="16">
      <c r="A2" s="5" t="inlineStr">
        <is>
          <t>Executed publishing-prep plan for CanDoItAll.CodeAnalytics. Implementation, packaging docs, and proof artifacts are captured in the bundle.</t>
        </is>
      </c>
    </row>
    <row r="4" ht="15" customHeight="1" s="16">
      <c r="A4" s="7" t="inlineStr">
        <is>
          <t>Prepared bundle</t>
        </is>
      </c>
      <c r="B4" t="inlineStr">
        <is>
          <t>CanDoItAll.CodeAnalsis.PublishPrepBundle</t>
        </is>
      </c>
      <c r="D4" s="9" t="inlineStr">
        <is>
          <t>Status</t>
        </is>
      </c>
      <c r="E4" s="9" t="inlineStr">
        <is>
          <t>Count</t>
        </is>
      </c>
      <c r="F4" s="9" t="inlineStr">
        <is>
          <t>Formula</t>
        </is>
      </c>
      <c r="G4" s="9" t="inlineStr">
        <is>
          <t>Notes</t>
        </is>
      </c>
      <c r="H4" s="9" t="str"/>
    </row>
    <row r="5" ht="15" customHeight="1" s="16">
      <c r="A5" s="7" t="inlineStr">
        <is>
          <t>Current state</t>
        </is>
      </c>
      <c r="B5" t="inlineStr">
        <is>
          <t>Execution complete through SB08 documentation updates; final validation proof captured in bundle proof folders.</t>
        </is>
      </c>
      <c r="D5" t="inlineStr">
        <is>
          <t>Not Started</t>
        </is>
      </c>
      <c r="E5">
        <f>F5</f>
        <v/>
      </c>
      <c r="F5">
        <f>COUNTIF('Checklist'!$E$5:$E$80,"Not Started")</f>
        <v/>
      </c>
      <c r="G5" t="inlineStr">
        <is>
          <t>Final execution status</t>
        </is>
      </c>
    </row>
    <row r="6" ht="15" customHeight="1" s="16">
      <c r="A6" s="7" t="inlineStr">
        <is>
          <t>Highest blocker</t>
        </is>
      </c>
      <c r="B6" t="inlineStr">
        <is>
          <t>No release-blocking validation blocker remains; segmented release matrix is the supported test strategy.</t>
        </is>
      </c>
      <c r="D6" t="inlineStr">
        <is>
          <t>In Progress</t>
        </is>
      </c>
      <c r="E6">
        <f>F6</f>
        <v/>
      </c>
      <c r="F6">
        <f>COUNTIF('Checklist'!$E$5:$E$80,"In Progress")</f>
        <v/>
      </c>
      <c r="G6" t="inlineStr">
        <is>
          <t>File-length guardrail passes with warnings only</t>
        </is>
      </c>
    </row>
    <row r="7" ht="15" customHeight="1" s="16">
      <c r="A7" s="7" t="inlineStr">
        <is>
          <t>UI scope</t>
        </is>
      </c>
      <c r="B7" t="inlineStr">
        <is>
          <t>Desktop large screen only; small and medium tuning intentionally out of scope.</t>
        </is>
      </c>
      <c r="D7" t="inlineStr">
        <is>
          <t>Blocked</t>
        </is>
      </c>
      <c r="E7">
        <f>F7</f>
        <v/>
      </c>
      <c r="F7">
        <f>COUNTIF('Checklist'!$E$5:$E$80,"Blocked")</f>
        <v/>
      </c>
      <c r="G7" t="inlineStr">
        <is>
          <t>Browser proof captured at 1600x1000</t>
        </is>
      </c>
    </row>
    <row r="8" ht="15" customHeight="1" s="16">
      <c r="A8" s="7" t="inlineStr">
        <is>
          <t>EF conclusion</t>
        </is>
      </c>
      <c r="B8" t="inlineStr">
        <is>
          <t>Static EF analyzer scope documented and tested; no runtime EF query tuning claims.</t>
        </is>
      </c>
      <c r="D8" t="inlineStr">
        <is>
          <t>Complete</t>
        </is>
      </c>
      <c r="E8">
        <f>F8</f>
        <v/>
      </c>
      <c r="F8">
        <f>COUNTIF('Checklist'!$E$5:$E$80,"Complete")</f>
        <v/>
      </c>
      <c r="G8" t="inlineStr">
        <is>
          <t>Runtime EF query tuning remains future scope</t>
        </is>
      </c>
    </row>
    <row r="9" ht="15" customHeight="1" s="16">
      <c r="A9" s="7" t="inlineStr">
        <is>
          <t>Critical subbundles</t>
        </is>
      </c>
      <c r="B9" t="n">
        <v>5</v>
      </c>
    </row>
    <row r="10" ht="15" customHeight="1" s="16">
      <c r="A10" s="7" t="inlineStr">
        <is>
          <t>Total subbundles</t>
        </is>
      </c>
      <c r="B10" t="n">
        <v>8</v>
      </c>
    </row>
    <row r="11" ht="15" customHeight="1" s="16">
      <c r="A11" s="7" t="inlineStr">
        <is>
          <t>Workbook generated</t>
        </is>
      </c>
      <c r="B11" s="32" t="n">
        <v>46203.55579089216</v>
      </c>
    </row>
    <row r="12" ht="15" customHeight="1" s="16">
      <c r="A12" s="7" t="inlineStr">
        <is>
          <t>Checklist total</t>
        </is>
      </c>
      <c r="B12">
        <f>COUNTA('Checklist'!$A$5:$A$80)</f>
        <v/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0" customWidth="1" style="16" min="1" max="1"/>
    <col width="42" customWidth="1" style="16" min="2" max="2"/>
    <col width="24" customWidth="1" style="16" min="3" max="3"/>
    <col width="24" customWidth="1" style="16" min="4" max="4"/>
    <col width="58" customWidth="1" style="16" min="5" max="5"/>
    <col width="14" customWidth="1" style="16" min="6" max="6"/>
    <col width="14" customWidth="1" style="16" min="7" max="7"/>
  </cols>
  <sheetData>
    <row r="1" ht="19.20000076293945" customHeight="1" s="16">
      <c r="A1" s="4" t="inlineStr">
        <is>
          <t>Subbundle plan</t>
        </is>
      </c>
    </row>
    <row r="2" ht="15" customHeight="1" s="16">
      <c r="A2" s="5" t="inlineStr">
        <is>
          <t>Execution order, dependencies, and gates for the publishing-preparation initiative.</t>
        </is>
      </c>
    </row>
    <row r="4" ht="15" customHeight="1" s="16">
      <c r="A4" s="12" t="inlineStr">
        <is>
          <t>ID</t>
        </is>
      </c>
      <c r="B4" s="13" t="inlineStr">
        <is>
          <t>Name</t>
        </is>
      </c>
      <c r="C4" s="13" t="inlineStr">
        <is>
          <t>Validation Depth</t>
        </is>
      </c>
      <c r="D4" s="13" t="inlineStr">
        <is>
          <t>Prerequisites</t>
        </is>
      </c>
      <c r="E4" s="13" t="inlineStr">
        <is>
          <t>Primary Deliverable</t>
        </is>
      </c>
      <c r="F4" s="13" t="inlineStr">
        <is>
          <t>Status</t>
        </is>
      </c>
      <c r="G4" s="14" t="inlineStr">
        <is>
          <t>Risk</t>
        </is>
      </c>
    </row>
    <row r="5" ht="15" customHeight="1" s="16">
      <c r="A5" s="21" t="inlineStr">
        <is>
          <t>SB01</t>
        </is>
      </c>
      <c r="B5" s="22" t="inlineStr">
        <is>
          <t>Validation Baseline And Release Guardrails</t>
        </is>
      </c>
      <c r="C5" s="22" t="inlineStr">
        <is>
          <t>Critical foundation</t>
        </is>
      </c>
      <c r="D5" s="22" t="inlineStr">
        <is>
          <t>None</t>
        </is>
      </c>
      <c r="E5" s="22" t="inlineStr">
        <is>
          <t>Build/test/script baseline and XLSX artifact</t>
        </is>
      </c>
      <c r="F5" s="22" t="inlineStr">
        <is>
          <t>Complete</t>
        </is>
      </c>
      <c r="G5" s="23" t="inlineStr">
        <is>
          <t>Highest</t>
        </is>
      </c>
    </row>
    <row r="6" ht="15" customHeight="1" s="16">
      <c r="A6" s="21" t="inlineStr">
        <is>
          <t>SB02</t>
        </is>
      </c>
      <c r="B6" s="22" t="inlineStr">
        <is>
          <t>Architecture Seams And Project Extraction</t>
        </is>
      </c>
      <c r="C6" s="22" t="inlineStr">
        <is>
          <t>Critical foundation</t>
        </is>
      </c>
      <c r="D6" s="22" t="inlineStr">
        <is>
          <t>SB01</t>
        </is>
      </c>
      <c r="E6" s="22" t="inlineStr">
        <is>
          <t>Decide project/helper/driver/addon boundaries</t>
        </is>
      </c>
      <c r="F6" s="22" t="inlineStr">
        <is>
          <t>Complete</t>
        </is>
      </c>
      <c r="G6" s="23" t="inlineStr">
        <is>
          <t>High</t>
        </is>
      </c>
    </row>
    <row r="7" ht="15" customHeight="1" s="16">
      <c r="A7" s="21" t="inlineStr">
        <is>
          <t>SB03</t>
        </is>
      </c>
      <c r="B7" s="22" t="inlineStr">
        <is>
          <t>Application Service And Focused Context Refactor</t>
        </is>
      </c>
      <c r="C7" s="22" t="inlineStr">
        <is>
          <t>Critical foundation</t>
        </is>
      </c>
      <c r="D7" s="22" t="inlineStr">
        <is>
          <t>SB02</t>
        </is>
      </c>
      <c r="E7" s="22" t="inlineStr">
        <is>
          <t>Split app service, focused context, symbol query responsibilities</t>
        </is>
      </c>
      <c r="F7" s="22" t="inlineStr">
        <is>
          <t>Complete</t>
        </is>
      </c>
      <c r="G7" s="23" t="inlineStr">
        <is>
          <t>High</t>
        </is>
      </c>
    </row>
    <row r="8" ht="15" customHeight="1" s="16">
      <c r="A8" s="21" t="inlineStr">
        <is>
          <t>SB04</t>
        </is>
      </c>
      <c r="B8" s="22" t="inlineStr">
        <is>
          <t>Facts Collectors And EF Analyzer Hardening</t>
        </is>
      </c>
      <c r="C8" s="22" t="inlineStr">
        <is>
          <t>Critical foundation</t>
        </is>
      </c>
      <c r="D8" s="22" t="inlineStr">
        <is>
          <t>SB02</t>
        </is>
      </c>
      <c r="E8" s="22" t="inlineStr">
        <is>
          <t>Harden facts and EF analyzer capability</t>
        </is>
      </c>
      <c r="F8" s="22" t="inlineStr">
        <is>
          <t>Complete</t>
        </is>
      </c>
      <c r="G8" s="23" t="inlineStr">
        <is>
          <t>High</t>
        </is>
      </c>
    </row>
    <row r="9" ht="15" customHeight="1" s="16">
      <c r="A9" s="21" t="inlineStr">
        <is>
          <t>SB05</t>
        </is>
      </c>
      <c r="B9" s="22" t="inlineStr">
        <is>
          <t>Storage Rendering Export And Performance Hardening</t>
        </is>
      </c>
      <c r="C9" s="22" t="inlineStr">
        <is>
          <t>Performance hardening</t>
        </is>
      </c>
      <c r="D9" s="22" t="inlineStr">
        <is>
          <t>SB03, SB04</t>
        </is>
      </c>
      <c r="E9" s="22" t="inlineStr">
        <is>
          <t>Measure and harden storage/render/export/query hot paths</t>
        </is>
      </c>
      <c r="F9" s="22" t="inlineStr">
        <is>
          <t>Complete</t>
        </is>
      </c>
      <c r="G9" s="23" t="inlineStr">
        <is>
          <t>Medium</t>
        </is>
      </c>
    </row>
    <row r="10" ht="15" customHeight="1" s="16">
      <c r="A10" s="21" t="inlineStr">
        <is>
          <t>SB06</t>
        </is>
      </c>
      <c r="B10" s="22" t="inlineStr">
        <is>
          <t>Desktop Sandbox UI Decomposition</t>
        </is>
      </c>
      <c r="C10" s="22" t="inlineStr">
        <is>
          <t>Desktop UI proof</t>
        </is>
      </c>
      <c r="D10" s="22" t="inlineStr">
        <is>
          <t>SB03</t>
        </is>
      </c>
      <c r="E10" s="22" t="inlineStr">
        <is>
          <t>Split large Razor pages and prove large-screen workflows</t>
        </is>
      </c>
      <c r="F10" s="22" t="inlineStr">
        <is>
          <t>Complete</t>
        </is>
      </c>
      <c r="G10" s="23" t="inlineStr">
        <is>
          <t>Medium</t>
        </is>
      </c>
    </row>
    <row r="11" ht="15" customHeight="1" s="16">
      <c r="A11" s="21" t="inlineStr">
        <is>
          <t>SB07</t>
        </is>
      </c>
      <c r="B11" s="22" t="inlineStr">
        <is>
          <t>Open Source Packaging And Publishing Readiness</t>
        </is>
      </c>
      <c r="C11" s="22" t="inlineStr">
        <is>
          <t>Publishing process</t>
        </is>
      </c>
      <c r="D11" s="22" t="inlineStr">
        <is>
          <t>SB05, SB06</t>
        </is>
      </c>
      <c r="E11" s="22" t="inlineStr">
        <is>
          <t>Add OSS metadata, packability, package validation</t>
        </is>
      </c>
      <c r="F11" s="22" t="inlineStr">
        <is>
          <t>Complete</t>
        </is>
      </c>
      <c r="G11" s="23" t="inlineStr">
        <is>
          <t>Medium</t>
        </is>
      </c>
    </row>
    <row r="12" ht="15" customHeight="1" s="16">
      <c r="A12" s="24" t="inlineStr">
        <is>
          <t>SB08</t>
        </is>
      </c>
      <c r="B12" s="25" t="inlineStr">
        <is>
          <t>Documentation Overhaul And Final Closure Audit</t>
        </is>
      </c>
      <c r="C12" s="25" t="inlineStr">
        <is>
          <t>Critical closure</t>
        </is>
      </c>
      <c r="D12" s="25" t="inlineStr">
        <is>
          <t>SB07</t>
        </is>
      </c>
      <c r="E12" s="25" t="inlineStr">
        <is>
          <t>Docs updated, raw inputs closed, final validation proof captured</t>
        </is>
      </c>
      <c r="F12" s="25" t="inlineStr">
        <is>
          <t>Complete</t>
        </is>
      </c>
      <c r="G12" s="26" t="inlineStr">
        <is>
          <t>Highest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12" customWidth="1" style="16" min="1" max="1"/>
    <col width="12" customWidth="1" style="16" min="2" max="2"/>
    <col width="48" customWidth="1" style="16" min="3" max="3"/>
    <col width="12" customWidth="1" style="16" min="4" max="4"/>
    <col width="16" customWidth="1" style="16" min="5" max="5"/>
    <col width="58" customWidth="1" style="16" min="6" max="6"/>
    <col width="18" customWidth="1" style="16" min="7" max="7"/>
  </cols>
  <sheetData>
    <row r="1" ht="19.20000076293945" customHeight="1" s="16">
      <c r="A1" s="4" t="inlineStr">
        <is>
          <t>Detailed checklist</t>
        </is>
      </c>
    </row>
    <row r="2" ht="15" customHeight="1" s="16">
      <c r="A2" s="5" t="inlineStr">
        <is>
          <t>Editable execution checklist. Status and priority columns use validation lists.</t>
        </is>
      </c>
    </row>
    <row r="4" ht="15" customHeight="1" s="16">
      <c r="A4" s="12" t="inlineStr">
        <is>
          <t>ID</t>
        </is>
      </c>
      <c r="B4" s="13" t="inlineStr">
        <is>
          <t>Subbundle</t>
        </is>
      </c>
      <c r="C4" s="13" t="inlineStr">
        <is>
          <t>Task</t>
        </is>
      </c>
      <c r="D4" s="13" t="inlineStr">
        <is>
          <t>Priority</t>
        </is>
      </c>
      <c r="E4" s="13" t="inlineStr">
        <is>
          <t>Status</t>
        </is>
      </c>
      <c r="F4" s="13" t="inlineStr">
        <is>
          <t>Acceptance Signal</t>
        </is>
      </c>
      <c r="G4" s="14" t="inlineStr">
        <is>
          <t>Owner</t>
        </is>
      </c>
    </row>
    <row r="5" ht="15" customHeight="1" s="16">
      <c r="A5" s="21" t="inlineStr">
        <is>
          <t>CHK-001</t>
        </is>
      </c>
      <c r="B5" s="22" t="inlineStr">
        <is>
          <t>SB01</t>
        </is>
      </c>
      <c r="C5" s="22" t="inlineStr">
        <is>
          <t>Reproduce test hang and capture transcript</t>
        </is>
      </c>
      <c r="D5" s="22" t="inlineStr">
        <is>
          <t>P0</t>
        </is>
      </c>
      <c r="E5" s="22" t="inlineStr">
        <is>
          <t>Complete</t>
        </is>
      </c>
      <c r="F5" s="22" t="inlineStr">
        <is>
          <t>Test command returns or segmented matrix is documented</t>
        </is>
      </c>
      <c r="G5" s="23" t="inlineStr">
        <is>
          <t>Execution agent</t>
        </is>
      </c>
    </row>
    <row r="6" ht="15" customHeight="1" s="16">
      <c r="A6" s="21" t="inlineStr">
        <is>
          <t>CHK-002</t>
        </is>
      </c>
      <c r="B6" s="22" t="inlineStr">
        <is>
          <t>SB01</t>
        </is>
      </c>
      <c r="C6" s="22" t="inlineStr">
        <is>
          <t>Fix or document file-length shell compatibility</t>
        </is>
      </c>
      <c r="D6" s="22" t="inlineStr">
        <is>
          <t>P0</t>
        </is>
      </c>
      <c r="E6" s="22" t="inlineStr">
        <is>
          <t>Complete</t>
        </is>
      </c>
      <c r="F6" s="22" t="inlineStr">
        <is>
          <t>Validate-FileLengths runs in documented shell</t>
        </is>
      </c>
      <c r="G6" s="23" t="inlineStr">
        <is>
          <t>Execution agent</t>
        </is>
      </c>
    </row>
    <row r="7" ht="15" customHeight="1" s="16">
      <c r="A7" s="21" t="inlineStr">
        <is>
          <t>CHK-003</t>
        </is>
      </c>
      <c r="B7" s="22" t="inlineStr">
        <is>
          <t>SB01</t>
        </is>
      </c>
      <c r="C7" s="22" t="inlineStr">
        <is>
          <t>Finalize validation command matrix</t>
        </is>
      </c>
      <c r="D7" s="22" t="inlineStr">
        <is>
          <t>P0</t>
        </is>
      </c>
      <c r="E7" s="22" t="inlineStr">
        <is>
          <t>Complete</t>
        </is>
      </c>
      <c r="F7" s="22" t="inlineStr">
        <is>
          <t>Build, tests, scripts, validators have transcripts</t>
        </is>
      </c>
      <c r="G7" s="23" t="inlineStr">
        <is>
          <t>Execution agent</t>
        </is>
      </c>
    </row>
    <row r="8" ht="15" customHeight="1" s="16">
      <c r="A8" s="21" t="inlineStr">
        <is>
          <t>CHK-004</t>
        </is>
      </c>
      <c r="B8" s="22" t="inlineStr">
        <is>
          <t>SB01</t>
        </is>
      </c>
      <c r="C8" s="22" t="inlineStr">
        <is>
          <t>Keep XLSX checklist current</t>
        </is>
      </c>
      <c r="D8" s="22" t="inlineStr">
        <is>
          <t>P2</t>
        </is>
      </c>
      <c r="E8" s="22" t="inlineStr">
        <is>
          <t>Complete</t>
        </is>
      </c>
      <c r="F8" s="22" t="inlineStr">
        <is>
          <t>Workbook generated during preparation</t>
        </is>
      </c>
      <c r="G8" s="23" t="inlineStr">
        <is>
          <t>Preparation</t>
        </is>
      </c>
    </row>
    <row r="9" ht="15" customHeight="1" s="16">
      <c r="A9" s="21" t="inlineStr">
        <is>
          <t>CHK-005</t>
        </is>
      </c>
      <c r="B9" s="22" t="inlineStr">
        <is>
          <t>SB02</t>
        </is>
      </c>
      <c r="C9" s="22" t="inlineStr">
        <is>
          <t>Decide FocusedContext extraction</t>
        </is>
      </c>
      <c r="D9" s="22" t="inlineStr">
        <is>
          <t>P0</t>
        </is>
      </c>
      <c r="E9" s="22" t="inlineStr">
        <is>
          <t>Complete</t>
        </is>
      </c>
      <c r="F9" s="22" t="inlineStr">
        <is>
          <t>ADR states project or internal-service decision</t>
        </is>
      </c>
      <c r="G9" s="23" t="inlineStr">
        <is>
          <t>Architecture</t>
        </is>
      </c>
    </row>
    <row r="10" ht="15" customHeight="1" s="16">
      <c r="A10" s="21" t="inlineStr">
        <is>
          <t>CHK-006</t>
        </is>
      </c>
      <c r="B10" s="22" t="inlineStr">
        <is>
          <t>SB02</t>
        </is>
      </c>
      <c r="C10" s="22" t="inlineStr">
        <is>
          <t>Decide EF analyzer addon boundary</t>
        </is>
      </c>
      <c r="D10" s="22" t="inlineStr">
        <is>
          <t>P0</t>
        </is>
      </c>
      <c r="E10" s="22" t="inlineStr">
        <is>
          <t>Complete</t>
        </is>
      </c>
      <c r="F10" s="22" t="inlineStr">
        <is>
          <t>Core/addon package decision is tested</t>
        </is>
      </c>
      <c r="G10" s="23" t="inlineStr">
        <is>
          <t>Architecture</t>
        </is>
      </c>
    </row>
    <row r="11" ht="15" customHeight="1" s="16">
      <c r="A11" s="21" t="inlineStr">
        <is>
          <t>CHK-007</t>
        </is>
      </c>
      <c r="B11" s="22" t="inlineStr">
        <is>
          <t>SB02</t>
        </is>
      </c>
      <c r="C11" s="22" t="inlineStr">
        <is>
          <t>Protect allowed project references</t>
        </is>
      </c>
      <c r="D11" s="22" t="inlineStr">
        <is>
          <t>P1</t>
        </is>
      </c>
      <c r="E11" s="22" t="inlineStr">
        <is>
          <t>Complete</t>
        </is>
      </c>
      <c r="F11" s="22" t="inlineStr">
        <is>
          <t>Architecture tests guard reference direction</t>
        </is>
      </c>
      <c r="G11" s="23" t="inlineStr">
        <is>
          <t>Architecture</t>
        </is>
      </c>
    </row>
    <row r="12" ht="15" customHeight="1" s="16">
      <c r="A12" s="21" t="inlineStr">
        <is>
          <t>CHK-008</t>
        </is>
      </c>
      <c r="B12" s="22" t="inlineStr">
        <is>
          <t>SB03</t>
        </is>
      </c>
      <c r="C12" s="22" t="inlineStr">
        <is>
          <t>Split focused-context strategy and scoring</t>
        </is>
      </c>
      <c r="D12" s="22" t="inlineStr">
        <is>
          <t>P0</t>
        </is>
      </c>
      <c r="E12" s="22" t="inlineStr">
        <is>
          <t>Complete</t>
        </is>
      </c>
      <c r="F12" s="22" t="inlineStr">
        <is>
          <t>Oversized strategy file reduced or justified</t>
        </is>
      </c>
      <c r="G12" s="23" t="inlineStr">
        <is>
          <t>Application</t>
        </is>
      </c>
    </row>
    <row r="13" ht="15" customHeight="1" s="16">
      <c r="A13" s="21" t="inlineStr">
        <is>
          <t>CHK-009</t>
        </is>
      </c>
      <c r="B13" s="22" t="inlineStr">
        <is>
          <t>SB03</t>
        </is>
      </c>
      <c r="C13" s="22" t="inlineStr">
        <is>
          <t>Split symbol query/reference shaping</t>
        </is>
      </c>
      <c r="D13" s="22" t="inlineStr">
        <is>
          <t>P0</t>
        </is>
      </c>
      <c r="E13" s="22" t="inlineStr">
        <is>
          <t>Complete</t>
        </is>
      </c>
      <c r="F13" s="22" t="inlineStr">
        <is>
          <t>Symbols partial no longer owns all query behavior</t>
        </is>
      </c>
      <c r="G13" s="23" t="inlineStr">
        <is>
          <t>Application</t>
        </is>
      </c>
    </row>
    <row r="14" ht="15" customHeight="1" s="16">
      <c r="A14" s="21" t="inlineStr">
        <is>
          <t>CHK-010</t>
        </is>
      </c>
      <c r="B14" s="22" t="inlineStr">
        <is>
          <t>SB03</t>
        </is>
      </c>
      <c r="C14" s="22" t="inlineStr">
        <is>
          <t>Add semantic focused-context tests</t>
        </is>
      </c>
      <c r="D14" s="22" t="inlineStr">
        <is>
          <t>P0</t>
        </is>
      </c>
      <c r="E14" s="22" t="inlineStr">
        <is>
          <t>Complete</t>
        </is>
      </c>
      <c r="F14" s="22" t="inlineStr">
        <is>
          <t>Positive and adversarial tests pass</t>
        </is>
      </c>
      <c r="G14" s="23" t="inlineStr">
        <is>
          <t>Application</t>
        </is>
      </c>
    </row>
    <row r="15" ht="15" customHeight="1" s="16">
      <c r="A15" s="21" t="inlineStr">
        <is>
          <t>CHK-011</t>
        </is>
      </c>
      <c r="B15" s="22" t="inlineStr">
        <is>
          <t>SB04</t>
        </is>
      </c>
      <c r="C15" s="22" t="inlineStr">
        <is>
          <t>Harden DbContext/entity/relationship fixtures</t>
        </is>
      </c>
      <c r="D15" s="22" t="inlineStr">
        <is>
          <t>P0</t>
        </is>
      </c>
      <c r="E15" s="22" t="inlineStr">
        <is>
          <t>Complete</t>
        </is>
      </c>
      <c r="F15" s="22" t="inlineStr">
        <is>
          <t>EF analyzer tests cover expected facts</t>
        </is>
      </c>
      <c r="G15" s="23" t="inlineStr">
        <is>
          <t>Facts</t>
        </is>
      </c>
    </row>
    <row r="16" ht="15" customHeight="1" s="16">
      <c r="A16" s="21" t="inlineStr">
        <is>
          <t>CHK-012</t>
        </is>
      </c>
      <c r="B16" s="22" t="inlineStr">
        <is>
          <t>SB04</t>
        </is>
      </c>
      <c r="C16" s="22" t="inlineStr">
        <is>
          <t>Avoid false runtime EF query claims</t>
        </is>
      </c>
      <c r="D16" s="22" t="inlineStr">
        <is>
          <t>P0</t>
        </is>
      </c>
      <c r="E16" s="22" t="inlineStr">
        <is>
          <t>Complete</t>
        </is>
      </c>
      <c r="F16" s="22" t="inlineStr">
        <is>
          <t>Negative tests prevent unsupported claims</t>
        </is>
      </c>
      <c r="G16" s="23" t="inlineStr">
        <is>
          <t>Facts</t>
        </is>
      </c>
    </row>
    <row r="17" ht="15" customHeight="1" s="16">
      <c r="A17" s="21" t="inlineStr">
        <is>
          <t>CHK-013</t>
        </is>
      </c>
      <c r="B17" s="22" t="inlineStr">
        <is>
          <t>SB05</t>
        </is>
      </c>
      <c r="C17" s="22" t="inlineStr">
        <is>
          <t>Measure selected hot paths before optimizing</t>
        </is>
      </c>
      <c r="D17" s="22" t="inlineStr">
        <is>
          <t>P1</t>
        </is>
      </c>
      <c r="E17" s="22" t="inlineStr">
        <is>
          <t>Complete</t>
        </is>
      </c>
      <c r="F17" s="22" t="inlineStr">
        <is>
          <t>Scenario or benchmark baseline exists</t>
        </is>
      </c>
      <c r="G17" s="23" t="inlineStr">
        <is>
          <t>Performance</t>
        </is>
      </c>
    </row>
    <row r="18" ht="15" customHeight="1" s="16">
      <c r="A18" s="21" t="inlineStr">
        <is>
          <t>CHK-014</t>
        </is>
      </c>
      <c r="B18" s="22" t="inlineStr">
        <is>
          <t>SB05</t>
        </is>
      </c>
      <c r="C18" s="22" t="inlineStr">
        <is>
          <t>Address dynamic regex safety</t>
        </is>
      </c>
      <c r="D18" s="22" t="inlineStr">
        <is>
          <t>P1</t>
        </is>
      </c>
      <c r="E18" s="22" t="inlineStr">
        <is>
          <t>Complete</t>
        </is>
      </c>
      <c r="F18" s="22" t="inlineStr">
        <is>
          <t>Timeout/cache/non-compiled decision is proven</t>
        </is>
      </c>
      <c r="G18" s="23" t="inlineStr">
        <is>
          <t>Performance</t>
        </is>
      </c>
    </row>
    <row r="19" ht="15" customHeight="1" s="16">
      <c r="A19" s="21" t="inlineStr">
        <is>
          <t>CHK-015</t>
        </is>
      </c>
      <c r="B19" s="22" t="inlineStr">
        <is>
          <t>SB05</t>
        </is>
      </c>
      <c r="C19" s="22" t="inlineStr">
        <is>
          <t>Bound source/document reads</t>
        </is>
      </c>
      <c r="D19" s="22" t="inlineStr">
        <is>
          <t>P2</t>
        </is>
      </c>
      <c r="E19" s="22" t="inlineStr">
        <is>
          <t>Complete</t>
        </is>
      </c>
      <c r="F19" s="22" t="inlineStr">
        <is>
          <t>Large-file behavior is explicit and tested</t>
        </is>
      </c>
      <c r="G19" s="23" t="inlineStr">
        <is>
          <t>Performance</t>
        </is>
      </c>
    </row>
    <row r="20" ht="15" customHeight="1" s="16">
      <c r="A20" s="21" t="inlineStr">
        <is>
          <t>CHK-016</t>
        </is>
      </c>
      <c r="B20" s="22" t="inlineStr">
        <is>
          <t>SB06</t>
        </is>
      </c>
      <c r="C20" s="22" t="inlineStr">
        <is>
          <t>Extract ContextLab components</t>
        </is>
      </c>
      <c r="D20" s="22" t="inlineStr">
        <is>
          <t>P1</t>
        </is>
      </c>
      <c r="E20" s="22" t="inlineStr">
        <is>
          <t>Complete</t>
        </is>
      </c>
      <c r="F20" s="22" t="inlineStr">
        <is>
          <t>Page no longer exceeds guardrail or has exception</t>
        </is>
      </c>
      <c r="G20" s="23" t="inlineStr">
        <is>
          <t>Web</t>
        </is>
      </c>
    </row>
    <row r="21" ht="15" customHeight="1" s="16">
      <c r="A21" s="21" t="inlineStr">
        <is>
          <t>CHK-017</t>
        </is>
      </c>
      <c r="B21" s="22" t="inlineStr">
        <is>
          <t>SB06</t>
        </is>
      </c>
      <c r="C21" s="22" t="inlineStr">
        <is>
          <t>Extract snapshot context and symbol components</t>
        </is>
      </c>
      <c r="D21" s="22" t="inlineStr">
        <is>
          <t>P1</t>
        </is>
      </c>
      <c r="E21" s="22" t="inlineStr">
        <is>
          <t>Complete</t>
        </is>
      </c>
      <c r="F21" s="22" t="inlineStr">
        <is>
          <t>Large pages split into named components</t>
        </is>
      </c>
      <c r="G21" s="23" t="inlineStr">
        <is>
          <t>Web</t>
        </is>
      </c>
    </row>
    <row r="22" ht="15" customHeight="1" s="16">
      <c r="A22" s="21" t="inlineStr">
        <is>
          <t>CHK-018</t>
        </is>
      </c>
      <c r="B22" s="22" t="inlineStr">
        <is>
          <t>SB06</t>
        </is>
      </c>
      <c r="C22" s="22" t="inlineStr">
        <is>
          <t>Capture desktop-large browser proof</t>
        </is>
      </c>
      <c r="D22" s="22" t="inlineStr">
        <is>
          <t>P0</t>
        </is>
      </c>
      <c r="E22" s="22" t="inlineStr">
        <is>
          <t>Complete</t>
        </is>
      </c>
      <c r="F22" s="22" t="inlineStr">
        <is>
          <t>Screenshots and visual review are recorded</t>
        </is>
      </c>
      <c r="G22" s="23" t="inlineStr">
        <is>
          <t>Web</t>
        </is>
      </c>
    </row>
    <row r="23" ht="15" customHeight="1" s="16">
      <c r="A23" s="21" t="inlineStr">
        <is>
          <t>CHK-019</t>
        </is>
      </c>
      <c r="B23" s="22" t="inlineStr">
        <is>
          <t>SB07</t>
        </is>
      </c>
      <c r="C23" s="22" t="inlineStr">
        <is>
          <t>Add OSS license/security/contributing files</t>
        </is>
      </c>
      <c r="D23" s="22" t="inlineStr">
        <is>
          <t>P0</t>
        </is>
      </c>
      <c r="E23" s="22" t="inlineStr">
        <is>
          <t>Complete</t>
        </is>
      </c>
      <c r="F23" s="22" t="inlineStr">
        <is>
          <t>Repository hygiene files exist</t>
        </is>
      </c>
      <c r="G23" s="23" t="inlineStr">
        <is>
          <t>Publishing</t>
        </is>
      </c>
    </row>
    <row r="24" ht="15" customHeight="1" s="16">
      <c r="A24" s="21" t="inlineStr">
        <is>
          <t>CHK-020</t>
        </is>
      </c>
      <c r="B24" s="22" t="inlineStr">
        <is>
          <t>SB07</t>
        </is>
      </c>
      <c r="C24" s="22" t="inlineStr">
        <is>
          <t>Add package metadata and packability matrix</t>
        </is>
      </c>
      <c r="D24" s="22" t="inlineStr">
        <is>
          <t>P0</t>
        </is>
      </c>
      <c r="E24" s="22" t="inlineStr">
        <is>
          <t>Complete</t>
        </is>
      </c>
      <c r="F24" s="22" t="inlineStr">
        <is>
          <t>dotnet pack and package inspection pass</t>
        </is>
      </c>
      <c r="G24" s="23" t="inlineStr">
        <is>
          <t>Publishing</t>
        </is>
      </c>
    </row>
    <row r="25" ht="15" customHeight="1" s="16">
      <c r="A25" s="21" t="inlineStr">
        <is>
          <t>CHK-021</t>
        </is>
      </c>
      <c r="B25" s="22" t="inlineStr">
        <is>
          <t>SB08</t>
        </is>
      </c>
      <c r="C25" s="22" t="inlineStr">
        <is>
          <t>Rewrite README from shipped shape</t>
        </is>
      </c>
      <c r="D25" s="22" t="inlineStr">
        <is>
          <t>P0</t>
        </is>
      </c>
      <c r="E25" s="22" t="inlineStr">
        <is>
          <t>Complete</t>
        </is>
      </c>
      <c r="F25" s="22" t="inlineStr">
        <is>
          <t>Commands and claims are verified</t>
        </is>
      </c>
      <c r="G25" s="23" t="inlineStr">
        <is>
          <t>Docs</t>
        </is>
      </c>
    </row>
    <row r="26" ht="15" customHeight="1" s="16">
      <c r="A26" s="21" t="inlineStr">
        <is>
          <t>CHK-022</t>
        </is>
      </c>
      <c r="B26" s="22" t="inlineStr">
        <is>
          <t>SB08</t>
        </is>
      </c>
      <c r="C26" s="22" t="inlineStr">
        <is>
          <t>Add ADRs for boundary decisions</t>
        </is>
      </c>
      <c r="D26" s="22" t="inlineStr">
        <is>
          <t>P1</t>
        </is>
      </c>
      <c r="E26" s="22" t="inlineStr">
        <is>
          <t>Complete</t>
        </is>
      </c>
      <c r="F26" s="22" t="inlineStr">
        <is>
          <t>Architecture decisions are durable</t>
        </is>
      </c>
      <c r="G26" s="23" t="inlineStr">
        <is>
          <t>Docs</t>
        </is>
      </c>
    </row>
    <row r="27" ht="15" customHeight="1" s="16">
      <c r="A27" s="24" t="inlineStr">
        <is>
          <t>CHK-023</t>
        </is>
      </c>
      <c r="B27" s="25" t="inlineStr">
        <is>
          <t>SB08</t>
        </is>
      </c>
      <c r="C27" s="25" t="inlineStr">
        <is>
          <t>Close every raw input with proof</t>
        </is>
      </c>
      <c r="D27" s="25" t="inlineStr">
        <is>
          <t>P0</t>
        </is>
      </c>
      <c r="E27" s="25" t="inlineStr">
        <is>
          <t>Complete</t>
        </is>
      </c>
      <c r="F27" s="25" t="inlineStr">
        <is>
          <t>Raw note closure table has no pending rows</t>
        </is>
      </c>
      <c r="G27" s="26" t="inlineStr">
        <is>
          <t>Closure</t>
        </is>
      </c>
    </row>
  </sheetData>
  <mergeCells count="2">
    <mergeCell ref="A2:G2"/>
    <mergeCell ref="A1:G1"/>
  </mergeCells>
  <dataValidations count="2">
    <dataValidation sqref="D5:D80" showDropDown="0" showInputMessage="0" showErrorMessage="0" allowBlank="0" type="list">
      <formula1>"P0,P1,P2,P3"</formula1>
    </dataValidation>
    <dataValidation sqref="E5:E80" showDropDown="0" showInputMessage="0" showErrorMessage="0" allowBlank="0" type="list">
      <formula1>"Not Started,In Progress,Blocked,Complete,Deferred"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10" customWidth="1" style="16" min="1" max="1"/>
    <col width="76" customWidth="1" style="16" min="2" max="2"/>
    <col width="40" customWidth="1" style="16" min="3" max="3"/>
    <col width="14" customWidth="1" style="16" min="4" max="4"/>
    <col width="48" customWidth="1" style="16" min="5" max="5"/>
  </cols>
  <sheetData>
    <row r="1" ht="19.20000076293945" customHeight="1" s="16">
      <c r="A1" s="4" t="inlineStr">
        <is>
          <t>Messy-part hotspot inventory</t>
        </is>
      </c>
    </row>
    <row r="2" ht="15" customHeight="1" s="16">
      <c r="A2" s="5" t="inlineStr">
        <is>
          <t>Files over thresholds, mixed responsibilities, and owning subbundles.</t>
        </is>
      </c>
    </row>
    <row r="4" ht="15" customHeight="1" s="16">
      <c r="A4" s="12" t="inlineStr">
        <is>
          <t>Lines</t>
        </is>
      </c>
      <c r="B4" s="13" t="inlineStr">
        <is>
          <t>Path</t>
        </is>
      </c>
      <c r="C4" s="13" t="inlineStr">
        <is>
          <t>Finding</t>
        </is>
      </c>
      <c r="D4" s="13" t="inlineStr">
        <is>
          <t>Owner</t>
        </is>
      </c>
      <c r="E4" s="14" t="inlineStr">
        <is>
          <t>Planned Handling</t>
        </is>
      </c>
    </row>
    <row r="5" ht="15" customHeight="1" s="16">
      <c r="A5" s="33" t="n">
        <v>801</v>
      </c>
      <c r="B5" s="22" t="inlineStr">
        <is>
          <t>tools/ScenarioEvaluationHarness/Program.cs</t>
        </is>
      </c>
      <c r="C5" s="22" t="inlineStr">
        <is>
          <t>Tool monolith</t>
        </is>
      </c>
      <c r="D5" s="22" t="inlineStr">
        <is>
          <t>SB07</t>
        </is>
      </c>
      <c r="E5" s="23" t="inlineStr">
        <is>
          <t>Documented as non-shipping harness for this wave; not packaged.</t>
        </is>
      </c>
    </row>
    <row r="6" ht="15" customHeight="1" s="16">
      <c r="A6" s="33" t="n">
        <v>674</v>
      </c>
      <c r="B6" s="22" t="inlineStr">
        <is>
          <t>tests/CanDoItAll.CodeAnalytics.Tests.Unit/ApplicationFacts.cs</t>
        </is>
      </c>
      <c r="C6" s="22" t="inlineStr">
        <is>
          <t>Test monolith</t>
        </is>
      </c>
      <c r="D6" s="22" t="inlineStr">
        <is>
          <t>SB01/SB03</t>
        </is>
      </c>
      <c r="E6" s="23" t="inlineStr">
        <is>
          <t>Split into ApplicationFacts, ApplicationFocusedContextFacts, and ApplicationSymbolFacts.</t>
        </is>
      </c>
    </row>
    <row r="7" ht="26.39999961853027" customHeight="1" s="16">
      <c r="A7" s="33" t="n">
        <v>640</v>
      </c>
      <c r="B7" s="22" t="inlineStr">
        <is>
          <t>src/CanDoItAll.CodeAnalytics.Application/Services/CodeAnalyticsApplicationService.Context.Strategy.cs</t>
        </is>
      </c>
      <c r="C7" s="22" t="inlineStr">
        <is>
          <t>Focused-context strategy monolith</t>
        </is>
      </c>
      <c r="D7" s="22" t="inlineStr">
        <is>
          <t>SB03</t>
        </is>
      </c>
      <c r="E7" s="23" t="inlineStr">
        <is>
          <t>Split strategy usage/models out of original partial; remaining warning below hard limit.</t>
        </is>
      </c>
    </row>
    <row r="8" ht="15" customHeight="1" s="16">
      <c r="A8" s="33" t="n">
        <v>626</v>
      </c>
      <c r="B8" s="22" t="inlineStr">
        <is>
          <t>tools/ComparisonHarness/Program.cs</t>
        </is>
      </c>
      <c r="C8" s="22" t="inlineStr">
        <is>
          <t>Tool monolith</t>
        </is>
      </c>
      <c r="D8" s="22" t="inlineStr">
        <is>
          <t>SB07</t>
        </is>
      </c>
      <c r="E8" s="23" t="inlineStr">
        <is>
          <t>Documented as non-shipping harness for this wave; not packaged.</t>
        </is>
      </c>
    </row>
    <row r="9" ht="15" customHeight="1" s="16">
      <c r="A9" s="33" t="n">
        <v>619</v>
      </c>
      <c r="B9" s="22" t="inlineStr">
        <is>
          <t>src/CanDoItAll.CodeAnalytics.Web/Components/Pages/ContextLab.razor</t>
        </is>
      </c>
      <c r="C9" s="22" t="inlineStr">
        <is>
          <t>Razor page mixes UI/orchestration/helpers</t>
        </is>
      </c>
      <c r="D9" s="22" t="inlineStr">
        <is>
          <t>SB06</t>
        </is>
      </c>
      <c r="E9" s="23" t="inlineStr">
        <is>
          <t>Extracted selected-files, usage-summary, and details panels; page below hard limit.</t>
        </is>
      </c>
    </row>
    <row r="10" ht="15" customHeight="1" s="16">
      <c r="A10" s="33" t="n">
        <v>586</v>
      </c>
      <c r="B10" s="22" t="inlineStr">
        <is>
          <t>src/CanDoItAll.CodeAnalytics.Application/Services/CodeAnalyticsApplicationService.Symbols.cs</t>
        </is>
      </c>
      <c r="C10" s="22" t="inlineStr">
        <is>
          <t>Symbol query monolith</t>
        </is>
      </c>
      <c r="D10" s="22" t="inlineStr">
        <is>
          <t>SB03</t>
        </is>
      </c>
      <c r="E10" s="23" t="inlineStr">
        <is>
          <t>Split context, models, search, and references partials.</t>
        </is>
      </c>
    </row>
    <row r="11" ht="15" customHeight="1" s="16">
      <c r="A11" s="33" t="n">
        <v>414</v>
      </c>
      <c r="B11" s="22" t="inlineStr">
        <is>
          <t>src/CanDoItAll.CodeAnalytics.Web/Components/Pages/Snapshots/Context.razor</t>
        </is>
      </c>
      <c r="C11" s="22" t="inlineStr">
        <is>
          <t>Review-threshold UI page</t>
        </is>
      </c>
      <c r="D11" s="22" t="inlineStr">
        <is>
          <t>SB06</t>
        </is>
      </c>
      <c r="E11" s="23" t="inlineStr">
        <is>
          <t>Reused shared focused-context components; page below review threshold.</t>
        </is>
      </c>
    </row>
    <row r="12" ht="26.39999961853027" customHeight="1" s="16">
      <c r="A12" s="33" t="n">
        <v>368</v>
      </c>
      <c r="B12" s="22" t="inlineStr">
        <is>
          <t>src/CanDoItAll.CodeAnalytics.Application/Services/CodeAnalyticsApplicationService.Context.SeedResolution.cs</t>
        </is>
      </c>
      <c r="C12" s="22" t="inlineStr">
        <is>
          <t>Seed scoring mixed with service partial</t>
        </is>
      </c>
      <c r="D12" s="22" t="inlineStr">
        <is>
          <t>SB03</t>
        </is>
      </c>
      <c r="E12" s="23" t="inlineStr">
        <is>
          <t>Warning-level file remains below hard limit; candidate for future resolver split.</t>
        </is>
      </c>
    </row>
    <row r="13" ht="15" customHeight="1" s="16">
      <c r="A13" s="34" t="n">
        <v>358</v>
      </c>
      <c r="B13" s="25" t="inlineStr">
        <is>
          <t>src/CanDoItAll.CodeAnalytics.Web/Components/Pages/Snapshots/Symbols.razor</t>
        </is>
      </c>
      <c r="C13" s="25" t="inlineStr">
        <is>
          <t>Review-threshold UI page</t>
        </is>
      </c>
      <c r="D13" s="25" t="inlineStr">
        <is>
          <t>SB06</t>
        </is>
      </c>
      <c r="E13" s="26" t="inlineStr">
        <is>
          <t>Warning-level page remains below hard limit; documented as future component split candidate.</t>
        </is>
      </c>
    </row>
    <row r="14" ht="15" customHeight="1" s="16">
      <c r="A14" s="35" t="n"/>
    </row>
    <row r="15" ht="15" customHeight="1" s="16">
      <c r="A15" s="35" t="n"/>
    </row>
    <row r="16" ht="15" customHeight="1" s="16">
      <c r="A16" s="35" t="n"/>
    </row>
    <row r="17" ht="15" customHeight="1" s="16">
      <c r="A17" s="35" t="n"/>
    </row>
    <row r="18" ht="15" customHeight="1" s="16">
      <c r="A18" s="35" t="n"/>
    </row>
    <row r="19" ht="15" customHeight="1" s="16">
      <c r="A19" s="35" t="n"/>
    </row>
    <row r="20" ht="15" customHeight="1" s="16">
      <c r="A20" s="35" t="n"/>
    </row>
    <row r="21" ht="15" customHeight="1" s="16">
      <c r="A21" s="35" t="n"/>
    </row>
    <row r="22" ht="15" customHeight="1" s="16">
      <c r="A22" s="35" t="n"/>
    </row>
    <row r="23" ht="15" customHeight="1" s="16">
      <c r="A23" s="35" t="n"/>
    </row>
    <row r="24" ht="15" customHeight="1" s="16">
      <c r="A24" s="35" t="n"/>
    </row>
    <row r="25" ht="15" customHeight="1" s="16">
      <c r="A25" s="35" t="n"/>
    </row>
    <row r="26" ht="15" customHeight="1" s="16">
      <c r="A26" s="35" t="n"/>
    </row>
    <row r="27" ht="15" customHeight="1" s="16">
      <c r="A27" s="35" t="n"/>
    </row>
    <row r="28" ht="15" customHeight="1" s="16">
      <c r="A28" s="35" t="n"/>
    </row>
    <row r="29" ht="15" customHeight="1" s="16">
      <c r="A29" s="35" t="n"/>
    </row>
    <row r="30" ht="15" customHeight="1" s="16">
      <c r="A30" s="35" t="n"/>
    </row>
    <row r="31" ht="15" customHeight="1" s="16">
      <c r="A31" s="35" t="n"/>
    </row>
    <row r="32" ht="15" customHeight="1" s="16">
      <c r="A32" s="35" t="n"/>
    </row>
    <row r="33" ht="15" customHeight="1" s="16">
      <c r="A33" s="35" t="n"/>
    </row>
    <row r="34" ht="15" customHeight="1" s="16">
      <c r="A34" s="35" t="n"/>
    </row>
    <row r="35" ht="15" customHeight="1" s="16">
      <c r="A35" s="35" t="n"/>
    </row>
    <row r="36" ht="15" customHeight="1" s="16">
      <c r="A36" s="35" t="n"/>
    </row>
    <row r="37" ht="15" customHeight="1" s="16">
      <c r="A37" s="35" t="n"/>
    </row>
    <row r="38" ht="15" customHeight="1" s="16">
      <c r="A38" s="35" t="n"/>
    </row>
    <row r="39" ht="15" customHeight="1" s="16">
      <c r="A39" s="35" t="n"/>
    </row>
    <row r="40" ht="15" customHeight="1" s="16">
      <c r="A40" s="35" t="n"/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4" customWidth="1" style="16" min="1" max="1"/>
    <col width="42" customWidth="1" style="16" min="2" max="2"/>
    <col width="14" customWidth="1" style="16" min="3" max="3"/>
    <col width="58" customWidth="1" style="16" min="4" max="4"/>
    <col width="20" customWidth="1" style="16" min="5" max="5"/>
  </cols>
  <sheetData>
    <row r="1" ht="19.20000076293945" customHeight="1" s="16">
      <c r="A1" s="4" t="inlineStr">
        <is>
          <t>Project and addon extraction candidates</t>
        </is>
      </c>
    </row>
    <row r="2" ht="15" customHeight="1" s="16">
      <c r="A2" s="5" t="inlineStr">
        <is>
          <t>Candidates to decide before code movement. These are decisions, not automatic moves.</t>
        </is>
      </c>
    </row>
    <row r="4" ht="15" customHeight="1" s="16">
      <c r="A4" s="12" t="inlineStr">
        <is>
          <t>Candidate</t>
        </is>
      </c>
      <c r="B4" s="13" t="inlineStr">
        <is>
          <t>Current Source</t>
        </is>
      </c>
      <c r="C4" s="13" t="inlineStr">
        <is>
          <t>Strength</t>
        </is>
      </c>
      <c r="D4" s="13" t="inlineStr">
        <is>
          <t>Purpose</t>
        </is>
      </c>
      <c r="E4" s="14" t="inlineStr">
        <is>
          <t>Decision Phase</t>
        </is>
      </c>
    </row>
    <row r="5" ht="15" customHeight="1" s="16">
      <c r="A5" s="21" t="inlineStr">
        <is>
          <t>FocusedContext</t>
        </is>
      </c>
      <c r="B5" s="22" t="inlineStr">
        <is>
          <t>Application Context*.cs</t>
        </is>
      </c>
      <c r="C5" s="22" t="inlineStr">
        <is>
          <t>Strong</t>
        </is>
      </c>
      <c r="D5" s="22" t="inlineStr">
        <is>
          <t>Focused context seed/strategy/scoring/excerpts</t>
        </is>
      </c>
      <c r="E5" s="23" t="inlineStr">
        <is>
          <t>Internal Application services now; separate project deferred.</t>
        </is>
      </c>
    </row>
    <row r="6" ht="15" customHeight="1" s="16">
      <c r="A6" s="21" t="inlineStr">
        <is>
          <t>SymbolQueries</t>
        </is>
      </c>
      <c r="B6" s="22" t="inlineStr">
        <is>
          <t>Application Symbols*.cs</t>
        </is>
      </c>
      <c r="C6" s="22" t="inlineStr">
        <is>
          <t>Medium</t>
        </is>
      </c>
      <c r="D6" s="22" t="inlineStr">
        <is>
          <t>Symbol search, definitions, implementations, references</t>
        </is>
      </c>
      <c r="E6" s="23" t="inlineStr">
        <is>
          <t>Internal Application partials now; separate project deferred.</t>
        </is>
      </c>
    </row>
    <row r="7" ht="15" customHeight="1" s="16">
      <c r="A7" s="21" t="inlineStr">
        <is>
          <t>Facts.EfCore</t>
        </is>
      </c>
      <c r="B7" s="22" t="inlineStr">
        <is>
          <t>Facts/Persistence</t>
        </is>
      </c>
      <c r="C7" s="22" t="inlineStr">
        <is>
          <t>Strong</t>
        </is>
      </c>
      <c r="D7" s="22" t="inlineStr">
        <is>
          <t>Optional EF-specific analyzer addon over engine</t>
        </is>
      </c>
      <c r="E7" s="23" t="inlineStr">
        <is>
          <t>Kept in Facts as static analyzer; future addon after fact-pack registration.</t>
        </is>
      </c>
    </row>
    <row r="8" ht="15" customHeight="1" s="16">
      <c r="A8" s="21" t="inlineStr">
        <is>
          <t>Facts.DependencyInjection</t>
        </is>
      </c>
      <c r="B8" s="22" t="inlineStr">
        <is>
          <t>Facts/Services</t>
        </is>
      </c>
      <c r="C8" s="22" t="inlineStr">
        <is>
          <t>Medium</t>
        </is>
      </c>
      <c r="D8" s="22" t="inlineStr">
        <is>
          <t>Optional DI facts addon if package split is useful</t>
        </is>
      </c>
      <c r="E8" s="23" t="inlineStr">
        <is>
          <t>Kept in Facts for this wave.</t>
        </is>
      </c>
    </row>
    <row r="9" ht="15" customHeight="1" s="16">
      <c r="A9" s="21" t="inlineStr">
        <is>
          <t>Storage.FileSystem</t>
        </is>
      </c>
      <c r="B9" s="22" t="inlineStr">
        <is>
          <t>Storage</t>
        </is>
      </c>
      <c r="C9" s="22" t="inlineStr">
        <is>
          <t>Medium</t>
        </is>
      </c>
      <c r="D9" s="22" t="inlineStr">
        <is>
          <t>Filesystem snapshot storage driver</t>
        </is>
      </c>
      <c r="E9" s="23" t="inlineStr">
        <is>
          <t>Kept as Storage driver project until a second driver exists.</t>
        </is>
      </c>
    </row>
    <row r="10" ht="15" customHeight="1" s="16">
      <c r="A10" s="21" t="inlineStr">
        <is>
          <t>Rendering.Mermaid</t>
        </is>
      </c>
      <c r="B10" s="22" t="inlineStr">
        <is>
          <t>Rendering</t>
        </is>
      </c>
      <c r="C10" s="22" t="inlineStr">
        <is>
          <t>Medium</t>
        </is>
      </c>
      <c r="D10" s="22" t="inlineStr">
        <is>
          <t>Renderer package for Markdown/Mermaid exports</t>
        </is>
      </c>
      <c r="E10" s="23" t="inlineStr">
        <is>
          <t>Kept in Rendering for this wave.</t>
        </is>
      </c>
    </row>
    <row r="11" ht="15" customHeight="1" s="16">
      <c r="A11" s="21" t="inlineStr">
        <is>
          <t>Web.DesktopSandbox</t>
        </is>
      </c>
      <c r="B11" s="22" t="inlineStr">
        <is>
          <t>Web</t>
        </is>
      </c>
      <c r="C11" s="22" t="inlineStr">
        <is>
          <t>Strong</t>
        </is>
      </c>
      <c r="D11" s="22" t="inlineStr">
        <is>
          <t>Non-core desktop sandbox app</t>
        </is>
      </c>
      <c r="E11" s="23" t="inlineStr">
        <is>
          <t>Non-packable desktop sandbox app.</t>
        </is>
      </c>
    </row>
    <row r="12" ht="15" customHeight="1" s="16">
      <c r="A12" s="24" t="inlineStr">
        <is>
          <t>Mcp.CodeAnalytics</t>
        </is>
      </c>
      <c r="B12" s="25" t="inlineStr">
        <is>
          <t>reference/*</t>
        </is>
      </c>
      <c r="C12" s="25" t="inlineStr">
        <is>
          <t>Future only</t>
        </is>
      </c>
      <c r="D12" s="25" t="inlineStr">
        <is>
          <t>Thin future host driver, not this prep implementation</t>
        </is>
      </c>
      <c r="E12" s="26" t="inlineStr">
        <is>
          <t>Future host driver only; not implemented here.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36" customWidth="1" style="16" min="1" max="1"/>
    <col width="12" customWidth="1" style="16" min="2" max="2"/>
    <col width="72" customWidth="1" style="16" min="3" max="3"/>
    <col width="16" customWidth="1" style="16" min="4" max="4"/>
  </cols>
  <sheetData>
    <row r="1" ht="19.20000076293945" customHeight="1" s="16">
      <c r="A1" s="4" t="inlineStr">
        <is>
          <t>Performance and EF scan</t>
        </is>
      </c>
    </row>
    <row r="2" ht="15" customHeight="1" s="16">
      <c r="A2" s="5" t="inlineStr">
        <is>
          <t>Static scan results from preparation. Treat as triage until measured.</t>
        </is>
      </c>
    </row>
    <row r="4" ht="15" customHeight="1" s="16">
      <c r="A4" s="12" t="inlineStr">
        <is>
          <t>Recipe or Finding</t>
        </is>
      </c>
      <c r="B4" s="13" t="inlineStr">
        <is>
          <t>Hit Lines</t>
        </is>
      </c>
      <c r="C4" s="13" t="inlineStr">
        <is>
          <t>Triage</t>
        </is>
      </c>
      <c r="D4" s="14" t="inlineStr">
        <is>
          <t>Owner</t>
        </is>
      </c>
    </row>
    <row r="5" ht="15" customHeight="1" s="16">
      <c r="A5" s="21" t="inlineStr">
        <is>
          <t>async-await-task</t>
        </is>
      </c>
      <c r="B5" s="36" t="n">
        <v>187</v>
      </c>
      <c r="C5" s="22" t="inlineStr">
        <is>
          <t>Async-heavy app; no issue by itself</t>
        </is>
      </c>
      <c r="D5" s="23" t="inlineStr">
        <is>
          <t>SB01/SB05</t>
        </is>
      </c>
    </row>
    <row r="6" ht="15" customHeight="1" s="16">
      <c r="A6" s="21" t="inlineStr">
        <is>
          <t>sync-over-async</t>
        </is>
      </c>
      <c r="B6" s="36" t="n">
        <v>4</v>
      </c>
      <c r="C6" s="22" t="inlineStr">
        <is>
          <t>False positives on Result property names; no blocking sync-over-async found</t>
        </is>
      </c>
      <c r="D6" s="23" t="inlineStr">
        <is>
          <t>SB01</t>
        </is>
      </c>
    </row>
    <row r="7" ht="15" customHeight="1" s="16">
      <c r="A7" s="21" t="inlineStr">
        <is>
          <t>indexof-literal</t>
        </is>
      </c>
      <c r="B7" s="36" t="n">
        <v>0</v>
      </c>
      <c r="C7" s="22" t="inlineStr">
        <is>
          <t>No literal overload issue found</t>
        </is>
      </c>
      <c r="D7" s="23" t="inlineStr">
        <is>
          <t>None</t>
        </is>
      </c>
    </row>
    <row r="8" ht="15" customHeight="1" s="16">
      <c r="A8" s="21" t="inlineStr">
        <is>
          <t>substring</t>
        </is>
      </c>
      <c r="B8" s="36" t="n">
        <v>0</v>
      </c>
      <c r="C8" s="22" t="inlineStr">
        <is>
          <t>No hit</t>
        </is>
      </c>
      <c r="D8" s="23" t="inlineStr">
        <is>
          <t>None</t>
        </is>
      </c>
    </row>
    <row r="9" ht="15" customHeight="1" s="16">
      <c r="A9" s="21" t="inlineStr">
        <is>
          <t>starts-ends-contains</t>
        </is>
      </c>
      <c r="B9" s="36" t="n">
        <v>128</v>
      </c>
      <c r="C9" s="22" t="inlineStr">
        <is>
          <t>Mixed collection and string calls; targeted review only</t>
        </is>
      </c>
      <c r="D9" s="23" t="inlineStr">
        <is>
          <t>SB05</t>
        </is>
      </c>
    </row>
    <row r="10" ht="15" customHeight="1" s="16">
      <c r="A10" s="21" t="inlineStr">
        <is>
          <t>replace</t>
        </is>
      </c>
      <c r="B10" s="36" t="n">
        <v>19</v>
      </c>
      <c r="C10" s="22" t="inlineStr">
        <is>
          <t>Mostly path normalization, slug cleanup, Mermaid escaping</t>
        </is>
      </c>
      <c r="D10" s="23" t="inlineStr">
        <is>
          <t>SB05</t>
        </is>
      </c>
    </row>
    <row r="11" ht="15" customHeight="1" s="16">
      <c r="A11" s="21" t="inlineStr">
        <is>
          <t>linq-select-where-order-group</t>
        </is>
      </c>
      <c r="B11" s="36" t="n">
        <v>453</v>
      </c>
      <c r="C11" s="22" t="inlineStr">
        <is>
          <t>Review only measured hot paths</t>
        </is>
      </c>
      <c r="D11" s="23" t="inlineStr">
        <is>
          <t>SB03/SB05</t>
        </is>
      </c>
    </row>
    <row r="12" ht="15" customHeight="1" s="16">
      <c r="A12" s="21" t="inlineStr">
        <is>
          <t>new-dictionary-list</t>
        </is>
      </c>
      <c r="B12" s="36" t="n">
        <v>68</v>
      </c>
      <c r="C12" s="22" t="inlineStr">
        <is>
          <t>Expected in collectors/query paths; review repeated hot paths</t>
        </is>
      </c>
      <c r="D12" s="23" t="inlineStr">
        <is>
          <t>SB03/SB05</t>
        </is>
      </c>
    </row>
    <row r="13" ht="15" customHeight="1" s="16">
      <c r="A13" s="21" t="inlineStr">
        <is>
          <t>regex-compiled</t>
        </is>
      </c>
      <c r="B13" s="36" t="n">
        <v>2</v>
      </c>
      <c r="C13" s="22" t="inlineStr">
        <is>
          <t>Dynamic RegexOptions.Compiled removed; generated regex remains valid.</t>
        </is>
      </c>
      <c r="D13" s="23" t="inlineStr">
        <is>
          <t>SB05 complete</t>
        </is>
      </c>
    </row>
    <row r="14" ht="15" customHeight="1" s="16">
      <c r="A14" s="21" t="inlineStr">
        <is>
          <t>new-regex</t>
        </is>
      </c>
      <c r="B14" s="36" t="n">
        <v>1</v>
      </c>
      <c r="C14" s="22" t="inlineStr">
        <is>
          <t>Dynamic regex now timeout-bounded and fail-closed.</t>
        </is>
      </c>
      <c r="D14" s="23" t="inlineStr">
        <is>
          <t>SB05 complete</t>
        </is>
      </c>
    </row>
    <row r="15" ht="15" customHeight="1" s="16">
      <c r="A15" s="21" t="inlineStr">
        <is>
          <t>file-io</t>
        </is>
      </c>
      <c r="B15" s="36" t="n">
        <v>12</v>
      </c>
      <c r="C15" s="22" t="inlineStr">
        <is>
          <t>Public source reads and export writes are bounded/contained.</t>
        </is>
      </c>
      <c r="D15" s="23" t="inlineStr">
        <is>
          <t>SB05 complete</t>
        </is>
      </c>
    </row>
    <row r="16" ht="15" customHeight="1" s="16">
      <c r="A16" s="21" t="inlineStr">
        <is>
          <t>EF production runtime queries</t>
        </is>
      </c>
      <c r="B16" s="36" t="n">
        <v>0</v>
      </c>
      <c r="C16" s="22" t="inlineStr">
        <is>
          <t>No production runtime EF queries; static analyzer scope documented.</t>
        </is>
      </c>
      <c r="D16" s="23" t="inlineStr">
        <is>
          <t>SB04 complete</t>
        </is>
      </c>
    </row>
    <row r="17" ht="15" customHeight="1" s="16">
      <c r="A17" s="24" t="inlineStr">
        <is>
          <t>EF fixture runtime queries</t>
        </is>
      </c>
      <c r="B17" s="37" t="n">
        <v>2</v>
      </c>
      <c r="C17" s="25" t="inlineStr">
        <is>
          <t>Fixture coverage supports static analyzer facts, not runtime query tuning claims.</t>
        </is>
      </c>
      <c r="D17" s="26" t="inlineStr">
        <is>
          <t>SB04 complete</t>
        </is>
      </c>
    </row>
    <row r="18" ht="15" customHeight="1" s="16">
      <c r="B18" s="35" t="n"/>
    </row>
    <row r="19" ht="15" customHeight="1" s="16">
      <c r="B19" s="35" t="n"/>
    </row>
    <row r="20" ht="15" customHeight="1" s="16">
      <c r="B20" s="35" t="n"/>
    </row>
    <row r="21" ht="15" customHeight="1" s="16">
      <c r="B21" s="35" t="n"/>
    </row>
    <row r="22" ht="15" customHeight="1" s="16">
      <c r="B22" s="35" t="n"/>
    </row>
    <row r="23" ht="15" customHeight="1" s="16">
      <c r="B23" s="35" t="n"/>
    </row>
    <row r="24" ht="15" customHeight="1" s="16">
      <c r="B24" s="35" t="n"/>
    </row>
    <row r="25" ht="15" customHeight="1" s="16">
      <c r="B25" s="35" t="n"/>
    </row>
    <row r="26" ht="15" customHeight="1" s="16">
      <c r="B26" s="35" t="n"/>
    </row>
    <row r="27" ht="15" customHeight="1" s="16">
      <c r="B27" s="35" t="n"/>
    </row>
    <row r="28" ht="15" customHeight="1" s="16">
      <c r="B28" s="35" t="n"/>
    </row>
    <row r="29" ht="15" customHeight="1" s="16">
      <c r="B29" s="35" t="n"/>
    </row>
    <row r="30" ht="15" customHeight="1" s="16">
      <c r="B30" s="35" t="n"/>
    </row>
    <row r="31" ht="15" customHeight="1" s="16">
      <c r="B31" s="35" t="n"/>
    </row>
    <row r="32" ht="15" customHeight="1" s="16">
      <c r="B32" s="35" t="n"/>
    </row>
    <row r="33" ht="15" customHeight="1" s="16">
      <c r="B33" s="35" t="n"/>
    </row>
    <row r="34" ht="15" customHeight="1" s="16">
      <c r="B34" s="35" t="n"/>
    </row>
    <row r="35" ht="15" customHeight="1" s="16">
      <c r="B35" s="35" t="n"/>
    </row>
    <row r="36" ht="15" customHeight="1" s="16">
      <c r="B36" s="35" t="n"/>
    </row>
    <row r="37" ht="15" customHeight="1" s="16">
      <c r="B37" s="35" t="n"/>
    </row>
    <row r="38" ht="15" customHeight="1" s="16">
      <c r="B38" s="35" t="n"/>
    </row>
    <row r="39" ht="15" customHeight="1" s="16">
      <c r="B39" s="35" t="n"/>
    </row>
    <row r="40" ht="15" customHeight="1" s="16">
      <c r="B40" s="35" t="n"/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style="16" min="1" max="1"/>
    <col width="34" customWidth="1" style="16" min="2" max="2"/>
    <col width="58" customWidth="1" style="16" min="3" max="3"/>
    <col width="22" customWidth="1" style="16" min="4" max="4"/>
    <col width="14" customWidth="1" style="16" min="5" max="5"/>
  </cols>
  <sheetData>
    <row r="1" ht="19.20000076293945" customHeight="1" s="16">
      <c r="A1" s="4" t="inlineStr">
        <is>
          <t>Documentation improvement plan</t>
        </is>
      </c>
    </row>
    <row r="2" ht="15" customHeight="1" s="16">
      <c r="A2" s="5" t="inlineStr">
        <is>
          <t>Docs must be updated from shipped implementation decisions, not from preparation guesses.</t>
        </is>
      </c>
    </row>
    <row r="4" ht="15" customHeight="1" s="16">
      <c r="A4" s="12" t="inlineStr">
        <is>
          <t>Artifact</t>
        </is>
      </c>
      <c r="B4" s="13" t="inlineStr">
        <is>
          <t>Current State</t>
        </is>
      </c>
      <c r="C4" s="13" t="inlineStr">
        <is>
          <t>Needed Improvement</t>
        </is>
      </c>
      <c r="D4" s="13" t="inlineStr">
        <is>
          <t>Dependency</t>
        </is>
      </c>
      <c r="E4" s="14" t="inlineStr">
        <is>
          <t>Owner</t>
        </is>
      </c>
    </row>
    <row r="5" ht="15" customHeight="1" s="16">
      <c r="A5" s="21" t="inlineStr">
        <is>
          <t>README</t>
        </is>
      </c>
      <c r="B5" s="22" t="inlineStr">
        <is>
          <t>Publishing-ready overview</t>
        </is>
      </c>
      <c r="C5" s="22" t="inlineStr">
        <is>
          <t>Public API, validation, sandbox, and packaging docs complete</t>
        </is>
      </c>
      <c r="D5" s="22" t="inlineStr">
        <is>
          <t>SB08 complete</t>
        </is>
      </c>
      <c r="E5" s="23" t="inlineStr">
        <is>
          <t>SB08</t>
        </is>
      </c>
    </row>
    <row r="6" ht="15" customHeight="1" s="16">
      <c r="A6" s="21" t="inlineStr">
        <is>
          <t>ADRs</t>
        </is>
      </c>
      <c r="B6" s="22" t="inlineStr">
        <is>
          <t>Accepted ADR set</t>
        </is>
      </c>
      <c r="C6" s="22" t="inlineStr">
        <is>
          <t>Boundary, EF/performance, packaging, sandbox, and driver decisions complete</t>
        </is>
      </c>
      <c r="D6" s="22" t="inlineStr">
        <is>
          <t>SB08 complete</t>
        </is>
      </c>
      <c r="E6" s="23" t="inlineStr">
        <is>
          <t>SB08</t>
        </is>
      </c>
    </row>
    <row r="7" ht="15" customHeight="1" s="16">
      <c r="A7" s="21" t="inlineStr">
        <is>
          <t>License</t>
        </is>
      </c>
      <c r="B7" s="22" t="inlineStr">
        <is>
          <t>MIT license present</t>
        </is>
      </c>
      <c r="C7" s="22" t="inlineStr">
        <is>
          <t>Package license metadata present</t>
        </is>
      </c>
      <c r="D7" s="22" t="inlineStr">
        <is>
          <t>SB07 complete</t>
        </is>
      </c>
      <c r="E7" s="23" t="inlineStr">
        <is>
          <t>SB07</t>
        </is>
      </c>
    </row>
    <row r="8" ht="15" customHeight="1" s="16">
      <c r="A8" s="21" t="inlineStr">
        <is>
          <t>Security</t>
        </is>
      </c>
      <c r="B8" s="22" t="inlineStr">
        <is>
          <t>SECURITY.md present</t>
        </is>
      </c>
      <c r="C8" s="22" t="inlineStr">
        <is>
          <t>Vulnerability process documented</t>
        </is>
      </c>
      <c r="D8" s="22" t="inlineStr">
        <is>
          <t>SB07 complete</t>
        </is>
      </c>
      <c r="E8" s="23" t="inlineStr">
        <is>
          <t>SB07</t>
        </is>
      </c>
    </row>
    <row r="9" ht="15" customHeight="1" s="16">
      <c r="A9" s="21" t="inlineStr">
        <is>
          <t>Contributing</t>
        </is>
      </c>
      <c r="B9" s="22" t="inlineStr">
        <is>
          <t>CONTRIBUTING.md present</t>
        </is>
      </c>
      <c r="C9" s="22" t="inlineStr">
        <is>
          <t>Contribution and validation workflow documented</t>
        </is>
      </c>
      <c r="D9" s="22" t="inlineStr">
        <is>
          <t>SB08 complete</t>
        </is>
      </c>
      <c r="E9" s="23" t="inlineStr">
        <is>
          <t>SB08</t>
        </is>
      </c>
    </row>
    <row r="10" ht="15" customHeight="1" s="16">
      <c r="A10" s="21" t="inlineStr">
        <is>
          <t>Reference docs</t>
        </is>
      </c>
      <c r="B10" s="22" t="inlineStr">
        <is>
          <t>Updated reference set</t>
        </is>
      </c>
      <c r="C10" s="22" t="inlineStr">
        <is>
          <t>Public API, desktop sandbox, publishing, EF, performance, and driver docs aligned</t>
        </is>
      </c>
      <c r="D10" s="22" t="inlineStr">
        <is>
          <t>SB08 complete</t>
        </is>
      </c>
      <c r="E10" s="23" t="inlineStr">
        <is>
          <t>SB08</t>
        </is>
      </c>
    </row>
    <row r="11" ht="15" customHeight="1" s="16">
      <c r="A11" s="24" t="inlineStr">
        <is>
          <t>Harness docs</t>
        </is>
      </c>
      <c r="B11" s="25" t="inlineStr">
        <is>
          <t>Non-shipping tool posture documented</t>
        </is>
      </c>
      <c r="C11" s="25" t="inlineStr">
        <is>
          <t>No harness package shipped</t>
        </is>
      </c>
      <c r="D11" s="25" t="inlineStr">
        <is>
          <t>SB07/SB08 complete</t>
        </is>
      </c>
      <c r="E11" s="26" t="inlineStr">
        <is>
          <t>SB08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2026-06-30T17:19:38Z</dcterms:created>
  <dcterms:modified xmlns:dcterms="http://purl.org/dc/terms/" xmlns:xsi="http://www.w3.org/2001/XMLSchema-instance" xsi:type="dcterms:W3CDTF">2026-06-30T17:20:20Z</dcterms:modified>
</cp:coreProperties>
</file>